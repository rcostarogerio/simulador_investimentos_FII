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ost\Desktop\TI\Excel\"/>
    </mc:Choice>
  </mc:AlternateContent>
  <xr:revisionPtr revIDLastSave="0" documentId="13_ncr:1_{DFA40694-7146-4E70-BAE0-E8897C37C8C5}" xr6:coauthVersionLast="47" xr6:coauthVersionMax="47" xr10:uidLastSave="{00000000-0000-0000-0000-000000000000}"/>
  <bookViews>
    <workbookView xWindow="-120" yWindow="-120" windowWidth="20730" windowHeight="11400" tabRatio="51" xr2:uid="{5D2EB25F-C984-4888-8963-BDC1E4B4C446}"/>
  </bookViews>
  <sheets>
    <sheet name="Planilha1" sheetId="1" r:id="rId1"/>
    <sheet name="Planilha2" sheetId="3" r:id="rId2"/>
  </sheets>
  <definedNames>
    <definedName name="Aporte">Planilha1!$D$20</definedName>
    <definedName name="Patrimonio">Planilha1!$D$24</definedName>
    <definedName name="Prazo">Planilha1!$D$21</definedName>
    <definedName name="Qtd_anos">Planilha1!$D$21</definedName>
    <definedName name="Rendimento_Carteira">Planilha1!$D$15</definedName>
    <definedName name="Salario">Planilha1!$D$14</definedName>
    <definedName name="Sugestao_Investimento">Planilha1!$B$16</definedName>
    <definedName name="Taxa_Mensal">Planilha1!$D$22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C41" i="1"/>
  <c r="C42" i="1"/>
  <c r="C43" i="1"/>
  <c r="C44" i="1"/>
  <c r="C45" i="1"/>
  <c r="C40" i="1"/>
  <c r="H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4" i="3"/>
  <c r="C37" i="1"/>
  <c r="D16" i="1"/>
  <c r="C33" i="1"/>
  <c r="D33" i="1" s="1"/>
  <c r="C32" i="1"/>
  <c r="D32" i="1" s="1"/>
  <c r="C31" i="1"/>
  <c r="D31" i="1" s="1"/>
  <c r="C30" i="1"/>
  <c r="D30" i="1" s="1"/>
  <c r="C29" i="1"/>
  <c r="D29" i="1" s="1"/>
  <c r="D24" i="1"/>
  <c r="D25" i="1" s="1"/>
  <c r="D41" i="1" l="1"/>
  <c r="D44" i="1"/>
  <c r="D43" i="1"/>
  <c r="D40" i="1"/>
  <c r="D42" i="1"/>
  <c r="D45" i="1"/>
  <c r="D46" i="1" l="1"/>
</calcChain>
</file>

<file path=xl/sharedStrings.xml><?xml version="1.0" encoding="utf-8"?>
<sst xmlns="http://schemas.openxmlformats.org/spreadsheetml/2006/main" count="72" uniqueCount="37">
  <si>
    <t>Quanto  investir por mês</t>
  </si>
  <si>
    <t>Por quantos anos</t>
  </si>
  <si>
    <t>Taxa de Rendimento mensal</t>
  </si>
  <si>
    <t>INVESTIMENTO MENSAL</t>
  </si>
  <si>
    <t>Dividendos Mensais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</si>
  <si>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</si>
  <si>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</si>
  <si>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</si>
  <si>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</si>
  <si>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</si>
  <si>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</si>
  <si>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Configurações</t>
  </si>
  <si>
    <t>Salário</t>
  </si>
  <si>
    <t>Rendimento Carteira</t>
  </si>
  <si>
    <t>Patrimônio Acumulado</t>
  </si>
  <si>
    <t>Cenários</t>
  </si>
  <si>
    <t>Perfil</t>
  </si>
  <si>
    <t>VALOR A SER INVESTIDO POR MÊS</t>
  </si>
  <si>
    <t>PERFIL</t>
  </si>
  <si>
    <t>PAPEL</t>
  </si>
  <si>
    <t>TIJOLO</t>
  </si>
  <si>
    <t xml:space="preserve">HIBRIDOS </t>
  </si>
  <si>
    <t>FOFs</t>
  </si>
  <si>
    <t>DESENVOLVIMENTO</t>
  </si>
  <si>
    <t>HOTELARIAS</t>
  </si>
  <si>
    <t>TIPO DE FII</t>
  </si>
  <si>
    <t>Percentual Sugerido</t>
  </si>
  <si>
    <t>Valores</t>
  </si>
  <si>
    <t>Tipo de FII</t>
  </si>
  <si>
    <t>%</t>
  </si>
  <si>
    <t>Moderado</t>
  </si>
  <si>
    <t>Agressivo</t>
  </si>
  <si>
    <t>Chave</t>
  </si>
  <si>
    <t>Conservador</t>
  </si>
  <si>
    <t>Moderado-PAPEL</t>
  </si>
  <si>
    <t>Total Investido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</si>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</sst>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theme="2" tint="-0.24994659260841701"/>
      </right>
      <top style="medium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auto="1"/>
      </right>
      <top style="medium">
        <color auto="1"/>
      </top>
      <bottom style="thin">
        <color theme="2" tint="-0.24994659260841701"/>
      </bottom>
      <diagonal/>
    </border>
    <border>
      <left style="medium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auto="1"/>
      </left>
      <right style="thin">
        <color theme="2" tint="-0.24994659260841701"/>
      </right>
      <top style="thin">
        <color theme="2" tint="-0.24994659260841701"/>
      </top>
      <bottom style="medium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auto="1"/>
      </bottom>
      <diagonal/>
    </border>
    <border>
      <left style="thin">
        <color theme="2" tint="-0.24994659260841701"/>
      </left>
      <right style="medium">
        <color auto="1"/>
      </right>
      <top style="thin">
        <color theme="2" tint="-0.24994659260841701"/>
      </top>
      <bottom style="medium">
        <color auto="1"/>
      </bottom>
      <diagonal/>
    </border>
    <border>
      <left/>
      <right/>
      <top/>
      <bottom style="medium">
        <color theme="2" tint="-0.249977111117893"/>
      </bottom>
      <diagonal/>
    </border>
    <border>
      <left style="medium">
        <color auto="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50">
    <xf numFmtId="0" fontId="0" fillId="0" borderId="0" xfId="0"/>
    <xf numFmtId="0" fontId="5" fillId="0" borderId="0" xfId="0" applyFont="1"/>
    <xf numFmtId="0" fontId="3" fillId="6" borderId="0" xfId="0" applyFont="1" applyFill="1" applyAlignment="1">
      <alignment vertical="center"/>
    </xf>
    <xf numFmtId="0" fontId="0" fillId="0" borderId="0" xfId="0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2" fillId="0" borderId="6" xfId="1" applyNumberFormat="1" applyFont="1" applyBorder="1" applyAlignment="1">
      <alignment horizontal="center" vertical="center"/>
    </xf>
    <xf numFmtId="0" fontId="4" fillId="3" borderId="0" xfId="2"/>
    <xf numFmtId="0" fontId="0" fillId="5" borderId="0" xfId="0" applyFill="1"/>
    <xf numFmtId="0" fontId="2" fillId="5" borderId="0" xfId="0" applyFont="1" applyFill="1"/>
    <xf numFmtId="0" fontId="4" fillId="3" borderId="0" xfId="2" applyAlignment="1"/>
    <xf numFmtId="164" fontId="2" fillId="5" borderId="0" xfId="0" applyNumberFormat="1" applyFont="1" applyFill="1" applyAlignment="1">
      <alignment horizontal="center"/>
    </xf>
    <xf numFmtId="0" fontId="4" fillId="3" borderId="0" xfId="2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0" fillId="2" borderId="4" xfId="0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164" fontId="1" fillId="2" borderId="5" xfId="1" applyNumberFormat="1" applyFont="1" applyFill="1" applyBorder="1" applyAlignment="1"/>
    <xf numFmtId="164" fontId="1" fillId="2" borderId="6" xfId="1" applyNumberFormat="1" applyFont="1" applyFill="1" applyBorder="1" applyAlignment="1"/>
    <xf numFmtId="0" fontId="0" fillId="2" borderId="7" xfId="0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164" fontId="0" fillId="2" borderId="0" xfId="0" applyNumberFormat="1" applyFill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 Sugerido Por Tipo de FII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1D-485F-A71C-7034C9ECC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1D-485F-A71C-7034C9ECC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1D-485F-A71C-7034C9ECC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1D-485F-A71C-7034C9ECC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1D-485F-A71C-7034C9ECC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1D-485F-A71C-7034C9ECCE9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 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Planilha1!$C$40:$C$45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7-48D8-94ED-5CEFED5B91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24873013056352"/>
          <c:y val="0.20723666839837873"/>
          <c:w val="0.28915949376605515"/>
          <c:h val="0.5929075327705121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Patrimônio</a:t>
            </a:r>
            <a:r>
              <a:rPr lang="pt-BR" baseline="0"/>
              <a:t> Acumulado x Total Investido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54-4FD2-B777-93B7A4A6A56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A0E013B-F9EA-4166-B980-A5F36D939985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E54-4FD2-B777-93B7A4A6A5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Planilha1!$B$23:$B$24</c:f>
              <c:strCache>
                <c:ptCount val="2"/>
                <c:pt idx="0">
                  <c:v>Total Investido</c:v>
                </c:pt>
                <c:pt idx="1">
                  <c:v>Patrimônio Acumulado</c:v>
                </c:pt>
              </c:strCache>
            </c:strRef>
          </c:cat>
          <c:val>
            <c:numRef>
              <c:f>Planilha1!$D$23:$D$24</c:f>
              <c:numCache>
                <c:formatCode>"R$"\ #,##0.00</c:formatCode>
                <c:ptCount val="2"/>
                <c:pt idx="0">
                  <c:v>60000</c:v>
                </c:pt>
                <c:pt idx="1">
                  <c:v>96757.138541654538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4-4FD2-B777-93B7A4A6A5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69744639"/>
        <c:axId val="5258446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Planilha1!$B$23:$B$24</c15:sqref>
                        </c15:formulaRef>
                      </c:ext>
                    </c:extLst>
                    <c:strCache>
                      <c:ptCount val="2"/>
                      <c:pt idx="0">
                        <c:v>Total Investido</c:v>
                      </c:pt>
                      <c:pt idx="1">
                        <c:v>Patrimônio Acumulado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Planilha1!$C$23:$C$24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E54-4FD2-B777-93B7A4A6A56E}"/>
                  </c:ext>
                </c:extLst>
              </c15:ser>
            </c15:filteredBarSeries>
          </c:ext>
        </c:extLst>
      </c:barChart>
      <c:catAx>
        <c:axId val="66974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844687"/>
        <c:crosses val="autoZero"/>
        <c:auto val="1"/>
        <c:lblAlgn val="ctr"/>
        <c:lblOffset val="100"/>
        <c:noMultiLvlLbl val="0"/>
      </c:catAx>
      <c:valAx>
        <c:axId val="5258446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974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601264</xdr:colOff>
      <xdr:row>47</xdr:row>
      <xdr:rowOff>51196</xdr:rowOff>
    </xdr:from>
    <xdr:to>
      <xdr:col>3</xdr:col>
      <xdr:colOff>1428750</xdr:colOff>
      <xdr:row>65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A1BB23-2F52-3D53-E79F-0E2434AE4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583406</xdr:colOff>
      <xdr:row>0</xdr:row>
      <xdr:rowOff>166688</xdr:rowOff>
    </xdr:from>
    <xdr:to>
      <xdr:col>4</xdr:col>
      <xdr:colOff>11905</xdr:colOff>
      <xdr:row>10</xdr:row>
      <xdr:rowOff>178594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5565DB3-4DDF-B961-D8CB-5ADC81986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406" y="166688"/>
          <a:ext cx="6738937" cy="1916906"/>
        </a:xfrm>
        <a:prstGeom prst="rect">
          <a:avLst/>
        </a:prstGeom>
      </xdr:spPr>
    </xdr:pic>
    <xdr:clientData/>
  </xdr:twoCellAnchor>
  <xdr:twoCellAnchor>
    <xdr:from>
      <xdr:col>4</xdr:col>
      <xdr:colOff>297656</xdr:colOff>
      <xdr:row>0</xdr:row>
      <xdr:rowOff>176213</xdr:rowOff>
    </xdr:from>
    <xdr:to>
      <xdr:col>13</xdr:col>
      <xdr:colOff>297656</xdr:colOff>
      <xdr:row>15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91B288-DE29-C516-BF65-B90788EBB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8B28-E528-4ABB-8723-B0A197E35A3F}">
  <dimension ref="A12:E46"/>
  <sheetViews>
    <sheetView showGridLines="0" showRowColHeaders="0" tabSelected="1" zoomScale="80" zoomScaleNormal="80" workbookViewId="0">
      <selection activeCell="E52" sqref="E5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2" max="2" width="44.7109375" customWidth="1"/>
    <col min="3" max="3" width="34.28515625" bestFit="1" customWidth="1"/>
    <col min="4" max="4" width="21.5703125" customWidth="1"/>
    <col min="5" max="5" width="23.7109375" bestFit="1" customWidth="1"/>
    <col min="6" max="6" width="11.7109375" bestFit="1" customWidth="1"/>
  </cols>
  <sheetData>
    <row r="12" spans="2:4" ht="15.75" thickBot="1" x14ac:dyDescent="0.3"/>
    <row r="13" spans="2:4" ht="24" x14ac:dyDescent="0.25">
      <c r="B13" s="40" t="s">
        <v>11</v>
      </c>
      <c r="C13" s="41"/>
      <c r="D13" s="42"/>
    </row>
    <row r="14" spans="2:4" x14ac:dyDescent="0.25">
      <c r="B14" s="43" t="s">
        <v>12</v>
      </c>
      <c r="C14" s="44"/>
      <c r="D14" s="4">
        <v>5000</v>
      </c>
    </row>
    <row r="15" spans="2:4" x14ac:dyDescent="0.25">
      <c r="B15" s="43" t="s">
        <v>13</v>
      </c>
      <c r="C15" s="44"/>
      <c r="D15" s="5">
        <v>8.8999999999999999E-3</v>
      </c>
    </row>
    <row r="16" spans="2:4" ht="15.75" thickBot="1" x14ac:dyDescent="0.3">
      <c r="B16" s="45" t="s">
        <v>36</v>
      </c>
      <c r="C16" s="46"/>
      <c r="D16" s="19">
        <f>D14*0.3</f>
        <v>1500</v>
      </c>
    </row>
    <row r="18" spans="1:5" ht="15.75" thickBot="1" x14ac:dyDescent="0.3"/>
    <row r="19" spans="1:5" ht="30.75" customHeight="1" x14ac:dyDescent="0.25">
      <c r="B19" s="38" t="s">
        <v>3</v>
      </c>
      <c r="C19" s="39"/>
      <c r="D19" s="47"/>
    </row>
    <row r="20" spans="1:5" x14ac:dyDescent="0.25">
      <c r="B20" s="43" t="s">
        <v>0</v>
      </c>
      <c r="C20" s="44"/>
      <c r="D20" s="7">
        <v>500</v>
      </c>
    </row>
    <row r="21" spans="1:5" x14ac:dyDescent="0.25">
      <c r="B21" s="43" t="s">
        <v>1</v>
      </c>
      <c r="C21" s="44"/>
      <c r="D21" s="8">
        <v>10</v>
      </c>
    </row>
    <row r="22" spans="1:5" x14ac:dyDescent="0.25">
      <c r="B22" s="43" t="s">
        <v>2</v>
      </c>
      <c r="C22" s="44"/>
      <c r="D22" s="9">
        <v>7.4999999999999997E-3</v>
      </c>
    </row>
    <row r="23" spans="1:5" x14ac:dyDescent="0.25">
      <c r="B23" s="48" t="s">
        <v>35</v>
      </c>
      <c r="C23" s="49"/>
      <c r="D23" s="20">
        <f>Aporte*Prazo*12</f>
        <v>60000</v>
      </c>
    </row>
    <row r="24" spans="1:5" x14ac:dyDescent="0.25">
      <c r="B24" s="34" t="s">
        <v>14</v>
      </c>
      <c r="C24" s="35"/>
      <c r="D24" s="20">
        <f>FV(D22,D21*12,D20*-1)</f>
        <v>96757.138541654538</v>
      </c>
    </row>
    <row r="25" spans="1:5" ht="15.75" thickBot="1" x14ac:dyDescent="0.3">
      <c r="B25" s="36" t="s">
        <v>4</v>
      </c>
      <c r="C25" s="37"/>
      <c r="D25" s="21">
        <f>Patrimonio*Rendimento_Carteira</f>
        <v>861.13853302072539</v>
      </c>
    </row>
    <row r="27" spans="1:5" ht="15.75" thickBot="1" x14ac:dyDescent="0.3"/>
    <row r="28" spans="1:5" ht="24" x14ac:dyDescent="0.25">
      <c r="A28" s="1"/>
      <c r="B28" s="38" t="s">
        <v>15</v>
      </c>
      <c r="C28" s="39"/>
      <c r="D28" s="6" t="s">
        <v>10</v>
      </c>
      <c r="E28" s="2"/>
    </row>
    <row r="29" spans="1:5" x14ac:dyDescent="0.25">
      <c r="A29" s="1">
        <v>2</v>
      </c>
      <c r="B29" s="22" t="s">
        <v>5</v>
      </c>
      <c r="C29" s="23">
        <f>FV($D$22,$A29*12,$D$20*-1)</f>
        <v>13094.23529284152</v>
      </c>
      <c r="D29" s="24">
        <f>C29*Rendimento_Carteira</f>
        <v>116.53869410628953</v>
      </c>
    </row>
    <row r="30" spans="1:5" x14ac:dyDescent="0.25">
      <c r="A30" s="1">
        <v>5</v>
      </c>
      <c r="B30" s="22" t="s">
        <v>6</v>
      </c>
      <c r="C30" s="23">
        <f>FV($D$22,$A30*12,$D$20*-1)</f>
        <v>37712.068462771538</v>
      </c>
      <c r="D30" s="24">
        <f>C30*Rendimento_Carteira</f>
        <v>335.6374093186667</v>
      </c>
    </row>
    <row r="31" spans="1:5" x14ac:dyDescent="0.25">
      <c r="A31" s="1">
        <v>10</v>
      </c>
      <c r="B31" s="22" t="s">
        <v>7</v>
      </c>
      <c r="C31" s="25">
        <f>FV($D$22,$A31*12,$D$20*-1)</f>
        <v>96757.138541654538</v>
      </c>
      <c r="D31" s="26">
        <f>C31*Rendimento_Carteira</f>
        <v>861.13853302072539</v>
      </c>
    </row>
    <row r="32" spans="1:5" x14ac:dyDescent="0.25">
      <c r="A32" s="1">
        <v>20</v>
      </c>
      <c r="B32" s="22" t="s">
        <v>8</v>
      </c>
      <c r="C32" s="23">
        <f>FV($D$22,$A32*12,$D$20*-1)</f>
        <v>333943.43496484292</v>
      </c>
      <c r="D32" s="24">
        <f>C32*Rendimento_Carteira</f>
        <v>2972.0965711871017</v>
      </c>
    </row>
    <row r="33" spans="1:4" ht="15.75" thickBot="1" x14ac:dyDescent="0.3">
      <c r="A33" s="1">
        <v>30</v>
      </c>
      <c r="B33" s="27" t="s">
        <v>9</v>
      </c>
      <c r="C33" s="28">
        <f>FV($D$22,$A33*12,$D$20*-1)</f>
        <v>915371.74153603707</v>
      </c>
      <c r="D33" s="29">
        <f>C33*Rendimento_Carteira</f>
        <v>8146.8084996707294</v>
      </c>
    </row>
    <row r="34" spans="1:4" x14ac:dyDescent="0.25">
      <c r="A34" s="1"/>
    </row>
    <row r="36" spans="1:4" x14ac:dyDescent="0.25">
      <c r="B36" s="10" t="s">
        <v>18</v>
      </c>
      <c r="C36" s="15" t="s">
        <v>31</v>
      </c>
      <c r="D36" s="13"/>
    </row>
    <row r="37" spans="1:4" x14ac:dyDescent="0.25">
      <c r="B37" s="12" t="s">
        <v>17</v>
      </c>
      <c r="C37" s="16">
        <f>Aporte</f>
        <v>500</v>
      </c>
      <c r="D37" s="11"/>
    </row>
    <row r="39" spans="1:4" x14ac:dyDescent="0.25">
      <c r="B39" s="18" t="s">
        <v>25</v>
      </c>
      <c r="C39" s="18" t="s">
        <v>26</v>
      </c>
      <c r="D39" s="18" t="s">
        <v>27</v>
      </c>
    </row>
    <row r="40" spans="1:4" x14ac:dyDescent="0.25">
      <c r="B40" s="3" t="s">
        <v>19</v>
      </c>
      <c r="C40" s="17">
        <f>VLOOKUP($C$36&amp;"-"&amp;B40,Planilha2!$A:$D,4,FALSE)</f>
        <v>0.5</v>
      </c>
      <c r="D40" s="30">
        <f>$C$37*$C40</f>
        <v>250</v>
      </c>
    </row>
    <row r="41" spans="1:4" x14ac:dyDescent="0.25">
      <c r="B41" s="3" t="s">
        <v>20</v>
      </c>
      <c r="C41" s="17">
        <f>VLOOKUP($C$36&amp;"-"&amp;B41,Planilha2!$A:$D,4,FALSE)</f>
        <v>0.1</v>
      </c>
      <c r="D41" s="30">
        <f t="shared" ref="D41:D45" si="0">$C$37*$C41</f>
        <v>50</v>
      </c>
    </row>
    <row r="42" spans="1:4" x14ac:dyDescent="0.25">
      <c r="B42" s="3" t="s">
        <v>21</v>
      </c>
      <c r="C42" s="17">
        <f>VLOOKUP($C$36&amp;"-"&amp;B42,Planilha2!$A:$D,4,FALSE)</f>
        <v>0.05</v>
      </c>
      <c r="D42" s="30">
        <f t="shared" si="0"/>
        <v>25</v>
      </c>
    </row>
    <row r="43" spans="1:4" x14ac:dyDescent="0.25">
      <c r="B43" s="3" t="s">
        <v>22</v>
      </c>
      <c r="C43" s="17">
        <f>VLOOKUP($C$36&amp;"-"&amp;B43,Planilha2!$A:$D,4,FALSE)</f>
        <v>0.05</v>
      </c>
      <c r="D43" s="30">
        <f t="shared" si="0"/>
        <v>25</v>
      </c>
    </row>
    <row r="44" spans="1:4" x14ac:dyDescent="0.25">
      <c r="B44" s="3" t="s">
        <v>23</v>
      </c>
      <c r="C44" s="17">
        <f>VLOOKUP($C$36&amp;"-"&amp;B44,Planilha2!$A:$D,4,FALSE)</f>
        <v>0.2</v>
      </c>
      <c r="D44" s="30">
        <f t="shared" si="0"/>
        <v>100</v>
      </c>
    </row>
    <row r="45" spans="1:4" x14ac:dyDescent="0.25">
      <c r="B45" s="3" t="s">
        <v>24</v>
      </c>
      <c r="C45" s="17">
        <f>VLOOKUP($C$36&amp;"-"&amp;B45,Planilha2!$A:$D,4,FALSE)</f>
        <v>0.1</v>
      </c>
      <c r="D45" s="30">
        <f t="shared" si="0"/>
        <v>50</v>
      </c>
    </row>
    <row r="46" spans="1:4" x14ac:dyDescent="0.25">
      <c r="B46" s="11"/>
      <c r="C46" s="11"/>
      <c r="D46" s="14">
        <f>SUM(D40:D45)</f>
        <v>500</v>
      </c>
    </row>
  </sheetData>
  <mergeCells count="12">
    <mergeCell ref="B24:C24"/>
    <mergeCell ref="B25:C25"/>
    <mergeCell ref="B28:C28"/>
    <mergeCell ref="B13:D13"/>
    <mergeCell ref="B14:C14"/>
    <mergeCell ref="B15:C15"/>
    <mergeCell ref="B16:C16"/>
    <mergeCell ref="B19:D19"/>
    <mergeCell ref="B20:C20"/>
    <mergeCell ref="B21:C21"/>
    <mergeCell ref="B22:C22"/>
    <mergeCell ref="B23:C23"/>
  </mergeCells>
  <dataValidations count="1">
    <dataValidation type="list" allowBlank="1" showInputMessage="1" showErrorMessage="1" sqref="C36" xr:uid="{7373847A-CF5F-40FB-A027-9658DEEA409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4BF0-A56E-4C92-BD25-BAEA88F9DCFD}">
  <dimension ref="A3:H21"/>
  <sheetViews>
    <sheetView workbookViewId="0">
      <selection activeCell="D14" sqref="D14"/>
    </sheetView>
  </sheetViews>
  <sheetFormatPr defaultRowHeight="15" x14ac:dyDescent="0.25"/>
  <cols>
    <col min="1" max="1" width="20.5703125" bestFit="1" customWidth="1"/>
    <col min="2" max="2" width="14.42578125" bestFit="1" customWidth="1"/>
    <col min="3" max="3" width="18.5703125" bestFit="1" customWidth="1"/>
    <col min="4" max="4" width="4.5703125" bestFit="1" customWidth="1"/>
    <col min="7" max="7" width="16.140625" bestFit="1" customWidth="1"/>
  </cols>
  <sheetData>
    <row r="3" spans="1:8" x14ac:dyDescent="0.25">
      <c r="A3" t="s">
        <v>32</v>
      </c>
      <c r="B3" t="s">
        <v>16</v>
      </c>
      <c r="C3" s="3" t="s">
        <v>28</v>
      </c>
      <c r="D3" s="3" t="s">
        <v>29</v>
      </c>
      <c r="H3" t="s">
        <v>29</v>
      </c>
    </row>
    <row r="4" spans="1:8" x14ac:dyDescent="0.25">
      <c r="A4" t="str">
        <f>B4&amp;"-"&amp;C4</f>
        <v>Conservador-PAPEL</v>
      </c>
      <c r="B4" t="s">
        <v>33</v>
      </c>
      <c r="C4" s="3" t="s">
        <v>19</v>
      </c>
      <c r="D4" s="17">
        <v>0.3</v>
      </c>
      <c r="G4" s="10" t="s">
        <v>34</v>
      </c>
      <c r="H4" s="10">
        <f>VLOOKUP(G4,$A:$D,4,FALSE)</f>
        <v>0.32</v>
      </c>
    </row>
    <row r="5" spans="1:8" x14ac:dyDescent="0.25">
      <c r="A5" t="str">
        <f t="shared" ref="A5:A21" si="0">B5&amp;"-"&amp;C5</f>
        <v>Conservador-TIJOLO</v>
      </c>
      <c r="B5" t="s">
        <v>33</v>
      </c>
      <c r="C5" s="3" t="s">
        <v>20</v>
      </c>
      <c r="D5" s="17">
        <v>0.5</v>
      </c>
    </row>
    <row r="6" spans="1:8" x14ac:dyDescent="0.25">
      <c r="A6" t="str">
        <f t="shared" si="0"/>
        <v xml:space="preserve">Conservador-HIBRIDOS </v>
      </c>
      <c r="B6" t="s">
        <v>33</v>
      </c>
      <c r="C6" s="3" t="s">
        <v>21</v>
      </c>
      <c r="D6" s="17">
        <v>0.1</v>
      </c>
    </row>
    <row r="7" spans="1:8" x14ac:dyDescent="0.25">
      <c r="A7" t="str">
        <f t="shared" si="0"/>
        <v>Conservador-FOFs</v>
      </c>
      <c r="B7" t="s">
        <v>33</v>
      </c>
      <c r="C7" s="3" t="s">
        <v>22</v>
      </c>
      <c r="D7" s="17">
        <v>0.1</v>
      </c>
    </row>
    <row r="8" spans="1:8" x14ac:dyDescent="0.25">
      <c r="A8" t="str">
        <f t="shared" si="0"/>
        <v>Conservador-DESENVOLVIMENTO</v>
      </c>
      <c r="B8" t="s">
        <v>33</v>
      </c>
      <c r="C8" s="3" t="s">
        <v>23</v>
      </c>
      <c r="D8" s="17">
        <v>0</v>
      </c>
    </row>
    <row r="9" spans="1:8" ht="15.75" thickBot="1" x14ac:dyDescent="0.3">
      <c r="A9" s="31" t="str">
        <f t="shared" si="0"/>
        <v>Conservador-HOTELARIAS</v>
      </c>
      <c r="B9" s="31" t="s">
        <v>33</v>
      </c>
      <c r="C9" s="32" t="s">
        <v>24</v>
      </c>
      <c r="D9" s="33">
        <v>0</v>
      </c>
    </row>
    <row r="10" spans="1:8" x14ac:dyDescent="0.25">
      <c r="A10" t="str">
        <f t="shared" si="0"/>
        <v>Moderado-PAPEL</v>
      </c>
      <c r="B10" t="s">
        <v>30</v>
      </c>
      <c r="C10" s="3" t="s">
        <v>19</v>
      </c>
      <c r="D10" s="17">
        <v>0.32</v>
      </c>
    </row>
    <row r="11" spans="1:8" x14ac:dyDescent="0.25">
      <c r="A11" t="str">
        <f t="shared" si="0"/>
        <v>Moderado-TIJOLO</v>
      </c>
      <c r="B11" t="s">
        <v>30</v>
      </c>
      <c r="C11" s="3" t="s">
        <v>20</v>
      </c>
      <c r="D11" s="17">
        <v>0.35</v>
      </c>
    </row>
    <row r="12" spans="1:8" x14ac:dyDescent="0.25">
      <c r="A12" t="str">
        <f t="shared" si="0"/>
        <v xml:space="preserve">Moderado-HIBRIDOS </v>
      </c>
      <c r="B12" t="s">
        <v>30</v>
      </c>
      <c r="C12" s="3" t="s">
        <v>21</v>
      </c>
      <c r="D12" s="17">
        <v>0.08</v>
      </c>
    </row>
    <row r="13" spans="1:8" x14ac:dyDescent="0.25">
      <c r="A13" t="str">
        <f t="shared" si="0"/>
        <v>Moderado-FOFs</v>
      </c>
      <c r="B13" t="s">
        <v>30</v>
      </c>
      <c r="C13" s="3" t="s">
        <v>22</v>
      </c>
      <c r="D13" s="17">
        <v>0.05</v>
      </c>
    </row>
    <row r="14" spans="1:8" x14ac:dyDescent="0.25">
      <c r="A14" t="str">
        <f t="shared" si="0"/>
        <v>Moderado-DESENVOLVIMENTO</v>
      </c>
      <c r="B14" t="s">
        <v>30</v>
      </c>
      <c r="C14" s="3" t="s">
        <v>23</v>
      </c>
      <c r="D14" s="17">
        <v>0.1</v>
      </c>
    </row>
    <row r="15" spans="1:8" ht="15.75" thickBot="1" x14ac:dyDescent="0.3">
      <c r="A15" s="31" t="str">
        <f t="shared" si="0"/>
        <v>Moderado-HOTELARIAS</v>
      </c>
      <c r="B15" s="31" t="s">
        <v>30</v>
      </c>
      <c r="C15" s="32" t="s">
        <v>24</v>
      </c>
      <c r="D15" s="33">
        <v>0.1</v>
      </c>
    </row>
    <row r="16" spans="1:8" x14ac:dyDescent="0.25">
      <c r="A16" t="str">
        <f t="shared" si="0"/>
        <v>Agressivo-PAPEL</v>
      </c>
      <c r="B16" t="s">
        <v>31</v>
      </c>
      <c r="C16" s="3" t="s">
        <v>19</v>
      </c>
      <c r="D16" s="17">
        <v>0.5</v>
      </c>
    </row>
    <row r="17" spans="1:4" x14ac:dyDescent="0.25">
      <c r="A17" t="str">
        <f t="shared" si="0"/>
        <v>Agressivo-TIJOLO</v>
      </c>
      <c r="B17" t="s">
        <v>31</v>
      </c>
      <c r="C17" s="3" t="s">
        <v>20</v>
      </c>
      <c r="D17" s="17">
        <v>0.1</v>
      </c>
    </row>
    <row r="18" spans="1:4" x14ac:dyDescent="0.25">
      <c r="A18" t="str">
        <f t="shared" si="0"/>
        <v xml:space="preserve">Agressivo-HIBRIDOS </v>
      </c>
      <c r="B18" t="s">
        <v>31</v>
      </c>
      <c r="C18" s="3" t="s">
        <v>21</v>
      </c>
      <c r="D18" s="17">
        <v>0.05</v>
      </c>
    </row>
    <row r="19" spans="1:4" x14ac:dyDescent="0.25">
      <c r="A19" t="str">
        <f t="shared" si="0"/>
        <v>Agressivo-FOFs</v>
      </c>
      <c r="B19" t="s">
        <v>31</v>
      </c>
      <c r="C19" s="3" t="s">
        <v>22</v>
      </c>
      <c r="D19" s="17">
        <v>0.05</v>
      </c>
    </row>
    <row r="20" spans="1:4" x14ac:dyDescent="0.25">
      <c r="A20" t="str">
        <f t="shared" si="0"/>
        <v>Agressivo-DESENVOLVIMENTO</v>
      </c>
      <c r="B20" t="s">
        <v>31</v>
      </c>
      <c r="C20" s="3" t="s">
        <v>23</v>
      </c>
      <c r="D20" s="17">
        <v>0.2</v>
      </c>
    </row>
    <row r="21" spans="1:4" x14ac:dyDescent="0.25">
      <c r="A21" t="str">
        <f t="shared" si="0"/>
        <v>Agressivo-HOTELARIAS</v>
      </c>
      <c r="B21" t="s">
        <v>31</v>
      </c>
      <c r="C21" s="3" t="s">
        <v>24</v>
      </c>
      <c r="D21" s="1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Patrimonio</vt:lpstr>
      <vt:lpstr>Prazo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RODRIGUES DA COSTA</dc:creator>
  <cp:lastModifiedBy>ROGERIO RODRIGUES DA COSTA</cp:lastModifiedBy>
  <dcterms:created xsi:type="dcterms:W3CDTF">2026-09-25T00:38:08Z</dcterms:created>
  <dcterms:modified xsi:type="dcterms:W3CDTF">2026-09-30T22:08:53Z</dcterms:modified>
</cp:coreProperties>
</file>